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te List" sheetId="1" state="visible" r:id="rId3"/>
    <sheet name="State Summary" sheetId="2" state="visible" r:id="rId4"/>
  </sheets>
  <definedNames>
    <definedName function="false" hidden="true" localSheetId="0" name="_xlnm._FilterDatabase" vbProcedure="false">'Site List'!$A$3:$K$29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<sst xmlns="http://schemas.openxmlformats.org/spreadsheetml/2006/main" count="236" uniqueCount="167">
  <si>
    <t xml:space="preserve">Illuminate1 (NCT07494305) — Clinical Trial Site Locations</t>
  </si>
  <si>
    <t xml:space="preserve">Source: ClinicalTrials.gov NCT07494305 | 26 sites, 13 states | All sites Recruiting</t>
  </si>
  <si>
    <t xml:space="preserve">#</t>
  </si>
  <si>
    <t xml:space="preserve">Facility</t>
  </si>
  <si>
    <t xml:space="preserve">City</t>
  </si>
  <si>
    <t xml:space="preserve">State</t>
  </si>
  <si>
    <t xml:space="preserve">ZIP</t>
  </si>
  <si>
    <t xml:space="preserve">Status</t>
  </si>
  <si>
    <t xml:space="preserve">Primary Contact</t>
  </si>
  <si>
    <t xml:space="preserve">Phone</t>
  </si>
  <si>
    <t xml:space="preserve">Email</t>
  </si>
  <si>
    <t xml:space="preserve">Latitude</t>
  </si>
  <si>
    <t xml:space="preserve">Longitude</t>
  </si>
  <si>
    <t xml:space="preserve">Pillar Clinical Research</t>
  </si>
  <si>
    <t xml:space="preserve">Bentonville</t>
  </si>
  <si>
    <t xml:space="preserve">Arkansas</t>
  </si>
  <si>
    <t xml:space="preserve">72712</t>
  </si>
  <si>
    <t xml:space="preserve">Recruiting</t>
  </si>
  <si>
    <t xml:space="preserve">Fayz Hudefi, MD</t>
  </si>
  <si>
    <t xml:space="preserve">479-367-2688</t>
  </si>
  <si>
    <t xml:space="preserve">studies@pillarhc.com</t>
  </si>
  <si>
    <t xml:space="preserve">Little Rock</t>
  </si>
  <si>
    <t xml:space="preserve">72204</t>
  </si>
  <si>
    <t xml:space="preserve">Leslie Smith, MD</t>
  </si>
  <si>
    <t xml:space="preserve">501-307-1919</t>
  </si>
  <si>
    <t xml:space="preserve">CenExel</t>
  </si>
  <si>
    <t xml:space="preserve">Bellflower</t>
  </si>
  <si>
    <t xml:space="preserve">California</t>
  </si>
  <si>
    <t xml:space="preserve">90706</t>
  </si>
  <si>
    <t xml:space="preserve">Maria Nunez Perez</t>
  </si>
  <si>
    <t xml:space="preserve">866-478-8391</t>
  </si>
  <si>
    <t xml:space="preserve">m.nunezperez@cenexel.com</t>
  </si>
  <si>
    <t xml:space="preserve">ProScience Research Group</t>
  </si>
  <si>
    <t xml:space="preserve">Culver City</t>
  </si>
  <si>
    <t xml:space="preserve">90230</t>
  </si>
  <si>
    <t xml:space="preserve">Paola Aguirre</t>
  </si>
  <si>
    <t xml:space="preserve">424-227-8127</t>
  </si>
  <si>
    <t xml:space="preserve">paola.aguirre@proscienceerg.com</t>
  </si>
  <si>
    <t xml:space="preserve">Garden Grove</t>
  </si>
  <si>
    <t xml:space="preserve">922845</t>
  </si>
  <si>
    <t xml:space="preserve">Dakota Gainers</t>
  </si>
  <si>
    <t xml:space="preserve">714-943-5874</t>
  </si>
  <si>
    <t xml:space="preserve">d.gainers@cenexel.com</t>
  </si>
  <si>
    <t xml:space="preserve">Synergy San Diego</t>
  </si>
  <si>
    <t xml:space="preserve">Lemon Grove</t>
  </si>
  <si>
    <t xml:space="preserve">91945</t>
  </si>
  <si>
    <t xml:space="preserve">Corey Weise</t>
  </si>
  <si>
    <t xml:space="preserve">619-303-6130</t>
  </si>
  <si>
    <t xml:space="preserve">cweise@ergclinical.com</t>
  </si>
  <si>
    <t xml:space="preserve">NRC Research Institute</t>
  </si>
  <si>
    <t xml:space="preserve">Los Angeles</t>
  </si>
  <si>
    <t xml:space="preserve">90015</t>
  </si>
  <si>
    <t xml:space="preserve">Abigail Parera</t>
  </si>
  <si>
    <t xml:space="preserve">213-992-9216</t>
  </si>
  <si>
    <t xml:space="preserve">aparera@nrcresearch.com</t>
  </si>
  <si>
    <t xml:space="preserve">Orange</t>
  </si>
  <si>
    <t xml:space="preserve">92868</t>
  </si>
  <si>
    <t xml:space="preserve">Riverside</t>
  </si>
  <si>
    <t xml:space="preserve">92506</t>
  </si>
  <si>
    <t xml:space="preserve">866-478-2688</t>
  </si>
  <si>
    <t xml:space="preserve">Torrance</t>
  </si>
  <si>
    <t xml:space="preserve">90504</t>
  </si>
  <si>
    <t xml:space="preserve">844-424-9494</t>
  </si>
  <si>
    <t xml:space="preserve">ns.outreach@cenexel.com</t>
  </si>
  <si>
    <t xml:space="preserve">St. Jude Clinical Research</t>
  </si>
  <si>
    <t xml:space="preserve">Doral</t>
  </si>
  <si>
    <t xml:space="preserve">Florida</t>
  </si>
  <si>
    <t xml:space="preserve">33172</t>
  </si>
  <si>
    <t xml:space="preserve">305-507-2273</t>
  </si>
  <si>
    <t xml:space="preserve">slinares@stjudeclinicalresearch.com</t>
  </si>
  <si>
    <t xml:space="preserve">Cenexel Hollywood Florida</t>
  </si>
  <si>
    <t xml:space="preserve">Hollywood</t>
  </si>
  <si>
    <t xml:space="preserve">33019</t>
  </si>
  <si>
    <t xml:space="preserve">Edwin Gomez, MD</t>
  </si>
  <si>
    <t xml:space="preserve">954-990-7649</t>
  </si>
  <si>
    <t xml:space="preserve">e.gomez@cenexel.com</t>
  </si>
  <si>
    <t xml:space="preserve">Innovative Clinical Research</t>
  </si>
  <si>
    <t xml:space="preserve">Miami Lakes</t>
  </si>
  <si>
    <t xml:space="preserve">33016</t>
  </si>
  <si>
    <t xml:space="preserve">Melissa Rodco</t>
  </si>
  <si>
    <t xml:space="preserve">305-722-8444</t>
  </si>
  <si>
    <t xml:space="preserve">mrodco@segaltrials.com</t>
  </si>
  <si>
    <t xml:space="preserve">Health Synergy Clinical Research</t>
  </si>
  <si>
    <t xml:space="preserve">West Palm Beach</t>
  </si>
  <si>
    <t xml:space="preserve">33407</t>
  </si>
  <si>
    <t xml:space="preserve">Katherine Grigelis</t>
  </si>
  <si>
    <t xml:space="preserve">561-473-3472</t>
  </si>
  <si>
    <t xml:space="preserve">kat@hscresearch.com</t>
  </si>
  <si>
    <t xml:space="preserve">Trialmed</t>
  </si>
  <si>
    <t xml:space="preserve">Atlanta</t>
  </si>
  <si>
    <t xml:space="preserve">Georgia</t>
  </si>
  <si>
    <t xml:space="preserve">30328</t>
  </si>
  <si>
    <t xml:space="preserve">Jennifer Flemming</t>
  </si>
  <si>
    <t xml:space="preserve">678-559-1119</t>
  </si>
  <si>
    <t xml:space="preserve">jennifer.flemming@trialmed.com</t>
  </si>
  <si>
    <t xml:space="preserve">Cenexel Decatur GA</t>
  </si>
  <si>
    <t xml:space="preserve">Decatur</t>
  </si>
  <si>
    <t xml:space="preserve">30030</t>
  </si>
  <si>
    <t xml:space="preserve">Katherine Prowse</t>
  </si>
  <si>
    <t xml:space="preserve">404-537-1281</t>
  </si>
  <si>
    <t xml:space="preserve">k.prowse@cenexel.com</t>
  </si>
  <si>
    <t xml:space="preserve">Chicago</t>
  </si>
  <si>
    <t xml:space="preserve">Illinois</t>
  </si>
  <si>
    <t xml:space="preserve">60641</t>
  </si>
  <si>
    <t xml:space="preserve">Roueen Rafeyan, MD</t>
  </si>
  <si>
    <t xml:space="preserve">224-534-7332</t>
  </si>
  <si>
    <t xml:space="preserve">NSRT</t>
  </si>
  <si>
    <t xml:space="preserve">Detroit</t>
  </si>
  <si>
    <t xml:space="preserve">Michigan</t>
  </si>
  <si>
    <t xml:space="preserve">48203</t>
  </si>
  <si>
    <t xml:space="preserve">Tricia Harrison</t>
  </si>
  <si>
    <t xml:space="preserve">248-575-1268</t>
  </si>
  <si>
    <t xml:space="preserve">tricia@qcrnetwork.com</t>
  </si>
  <si>
    <t xml:space="preserve">Arch Clinical Trials</t>
  </si>
  <si>
    <t xml:space="preserve">St Louis</t>
  </si>
  <si>
    <t xml:space="preserve">Missouri</t>
  </si>
  <si>
    <t xml:space="preserve">63141</t>
  </si>
  <si>
    <t xml:space="preserve">Israa Diab</t>
  </si>
  <si>
    <t xml:space="preserve">314-266-1243</t>
  </si>
  <si>
    <t xml:space="preserve">idiab@archclinicaltrials.com</t>
  </si>
  <si>
    <t xml:space="preserve">Redbird Research</t>
  </si>
  <si>
    <t xml:space="preserve">Las Vegas</t>
  </si>
  <si>
    <t xml:space="preserve">Nevada</t>
  </si>
  <si>
    <t xml:space="preserve">89119</t>
  </si>
  <si>
    <t xml:space="preserve">Haley Lefever</t>
  </si>
  <si>
    <t xml:space="preserve">702-577-2000</t>
  </si>
  <si>
    <t xml:space="preserve">info@redbird-research.com</t>
  </si>
  <si>
    <t xml:space="preserve">Manhattan Behavioral Medicine</t>
  </si>
  <si>
    <t xml:space="preserve">New York</t>
  </si>
  <si>
    <t xml:space="preserve">10036</t>
  </si>
  <si>
    <t xml:space="preserve">Judith Joseph, MD</t>
  </si>
  <si>
    <t xml:space="preserve">646-678-4073</t>
  </si>
  <si>
    <t xml:space="preserve">joseph@nymbm.com</t>
  </si>
  <si>
    <t xml:space="preserve">Neuro-Behavioral Clinical Research</t>
  </si>
  <si>
    <t xml:space="preserve">Canton</t>
  </si>
  <si>
    <t xml:space="preserve">Ohio</t>
  </si>
  <si>
    <t xml:space="preserve">44720</t>
  </si>
  <si>
    <t xml:space="preserve">Crystal Blackford</t>
  </si>
  <si>
    <t xml:space="preserve">330-493-1118</t>
  </si>
  <si>
    <t xml:space="preserve">cblackford@nb-cr.com</t>
  </si>
  <si>
    <t xml:space="preserve">Adams Clinical</t>
  </si>
  <si>
    <t xml:space="preserve">Philadelphia</t>
  </si>
  <si>
    <t xml:space="preserve">Pennsylvania</t>
  </si>
  <si>
    <t xml:space="preserve">19104</t>
  </si>
  <si>
    <t xml:space="preserve">Isabel Bear</t>
  </si>
  <si>
    <t xml:space="preserve">267-207-2511</t>
  </si>
  <si>
    <t xml:space="preserve">ibear@adamsclinical.com</t>
  </si>
  <si>
    <t xml:space="preserve">DeSoto</t>
  </si>
  <si>
    <t xml:space="preserve">Texas</t>
  </si>
  <si>
    <t xml:space="preserve">75115</t>
  </si>
  <si>
    <t xml:space="preserve">Jaya Koonjbearry</t>
  </si>
  <si>
    <t xml:space="preserve">972-283-6286</t>
  </si>
  <si>
    <t xml:space="preserve">info@adamsclinical.com</t>
  </si>
  <si>
    <t xml:space="preserve">Richardson</t>
  </si>
  <si>
    <t xml:space="preserve">75080</t>
  </si>
  <si>
    <t xml:space="preserve">Scott Barley, MD</t>
  </si>
  <si>
    <t xml:space="preserve">214-396-4844</t>
  </si>
  <si>
    <t xml:space="preserve">Northwest Clinical Research Center</t>
  </si>
  <si>
    <t xml:space="preserve">Bellevue</t>
  </si>
  <si>
    <t xml:space="preserve">Washington</t>
  </si>
  <si>
    <t xml:space="preserve">98007</t>
  </si>
  <si>
    <t xml:space="preserve">Kimberlee Wheeler</t>
  </si>
  <si>
    <t xml:space="preserve">425-453-0404</t>
  </si>
  <si>
    <t xml:space="preserve">kwheeler@nwcrc.net</t>
  </si>
  <si>
    <t xml:space="preserve">Site Count</t>
  </si>
  <si>
    <t xml:space="preserve">% of Sites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</si>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</sst>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22"/>
    <col collapsed="false" customWidth="true" hidden="false" outlineLevel="0" max="8" min="8" style="0" width="16"/>
    <col collapsed="false" customWidth="true" hidden="false" outlineLevel="0" max="9" min="9" style="0" width="32"/>
    <col collapsed="false" customWidth="true" hidden="false" outlineLevel="0" max="11" min="10" style="0" width="11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</row>
    <row r="4" customFormat="false" ht="15" hidden="false" customHeight="false" outlineLevel="0" collapsed="false">
      <c r="A4" s="4" t="n">
        <v>1</v>
      </c>
      <c r="B4" s="5" t="s">
        <v>13</v>
      </c>
      <c r="C4" s="5" t="s">
        <v>14</v>
      </c>
      <c r="D4" s="4" t="s">
        <v>15</v>
      </c>
      <c r="E4" s="4" t="s">
        <v>16</v>
      </c>
      <c r="F4" s="4" t="s">
        <v>17</v>
      </c>
      <c r="G4" s="5" t="s">
        <v>18</v>
      </c>
      <c r="H4" s="5" t="s">
        <v>19</v>
      </c>
      <c r="I4" s="5" t="s">
        <v>20</v>
      </c>
      <c r="J4" s="4" t="n">
        <v>36.37285</v>
      </c>
      <c r="K4" s="4" t="n">
        <v>-94.20882</v>
      </c>
    </row>
    <row r="5" customFormat="false" ht="15" hidden="false" customHeight="false" outlineLevel="0" collapsed="false">
      <c r="A5" s="4" t="n">
        <v>2</v>
      </c>
      <c r="B5" s="5" t="s">
        <v>13</v>
      </c>
      <c r="C5" s="5" t="s">
        <v>21</v>
      </c>
      <c r="D5" s="4" t="s">
        <v>15</v>
      </c>
      <c r="E5" s="4" t="s">
        <v>22</v>
      </c>
      <c r="F5" s="4" t="s">
        <v>17</v>
      </c>
      <c r="G5" s="5" t="s">
        <v>23</v>
      </c>
      <c r="H5" s="5" t="s">
        <v>24</v>
      </c>
      <c r="I5" s="5" t="s">
        <v>20</v>
      </c>
      <c r="J5" s="4" t="n">
        <v>34.74648</v>
      </c>
      <c r="K5" s="4" t="n">
        <v>-92.28959</v>
      </c>
    </row>
    <row r="6" customFormat="false" ht="15" hidden="false" customHeight="false" outlineLevel="0" collapsed="false">
      <c r="A6" s="4" t="n">
        <v>3</v>
      </c>
      <c r="B6" s="5" t="s">
        <v>25</v>
      </c>
      <c r="C6" s="5" t="s">
        <v>26</v>
      </c>
      <c r="D6" s="4" t="s">
        <v>27</v>
      </c>
      <c r="E6" s="4" t="s">
        <v>28</v>
      </c>
      <c r="F6" s="4" t="s">
        <v>17</v>
      </c>
      <c r="G6" s="5" t="s">
        <v>29</v>
      </c>
      <c r="H6" s="5" t="s">
        <v>30</v>
      </c>
      <c r="I6" s="5" t="s">
        <v>31</v>
      </c>
      <c r="J6" s="4" t="n">
        <v>33.88168</v>
      </c>
      <c r="K6" s="4" t="n">
        <v>-118.11701</v>
      </c>
    </row>
    <row r="7" customFormat="false" ht="15" hidden="false" customHeight="false" outlineLevel="0" collapsed="false">
      <c r="A7" s="4" t="n">
        <v>4</v>
      </c>
      <c r="B7" s="5" t="s">
        <v>32</v>
      </c>
      <c r="C7" s="5" t="s">
        <v>33</v>
      </c>
      <c r="D7" s="4" t="s">
        <v>27</v>
      </c>
      <c r="E7" s="4" t="s">
        <v>34</v>
      </c>
      <c r="F7" s="4" t="s">
        <v>17</v>
      </c>
      <c r="G7" s="5" t="s">
        <v>35</v>
      </c>
      <c r="H7" s="5" t="s">
        <v>36</v>
      </c>
      <c r="I7" s="5" t="s">
        <v>37</v>
      </c>
      <c r="J7" s="4" t="n">
        <v>34.02112</v>
      </c>
      <c r="K7" s="4" t="n">
        <v>-118.39647</v>
      </c>
    </row>
    <row r="8" customFormat="false" ht="15" hidden="false" customHeight="false" outlineLevel="0" collapsed="false">
      <c r="A8" s="4" t="n">
        <v>5</v>
      </c>
      <c r="B8" s="5" t="s">
        <v>25</v>
      </c>
      <c r="C8" s="5" t="s">
        <v>38</v>
      </c>
      <c r="D8" s="4" t="s">
        <v>27</v>
      </c>
      <c r="E8" s="4" t="s">
        <v>39</v>
      </c>
      <c r="F8" s="4" t="s">
        <v>17</v>
      </c>
      <c r="G8" s="5" t="s">
        <v>40</v>
      </c>
      <c r="H8" s="5" t="s">
        <v>41</v>
      </c>
      <c r="I8" s="5" t="s">
        <v>42</v>
      </c>
      <c r="J8" s="4" t="n">
        <v>33.77391</v>
      </c>
      <c r="K8" s="4" t="n">
        <v>-117.94145</v>
      </c>
    </row>
    <row r="9" customFormat="false" ht="15" hidden="false" customHeight="false" outlineLevel="0" collapsed="false">
      <c r="A9" s="4" t="n">
        <v>6</v>
      </c>
      <c r="B9" s="5" t="s">
        <v>43</v>
      </c>
      <c r="C9" s="5" t="s">
        <v>44</v>
      </c>
      <c r="D9" s="4" t="s">
        <v>27</v>
      </c>
      <c r="E9" s="4" t="s">
        <v>45</v>
      </c>
      <c r="F9" s="4" t="s">
        <v>17</v>
      </c>
      <c r="G9" s="5" t="s">
        <v>46</v>
      </c>
      <c r="H9" s="5" t="s">
        <v>47</v>
      </c>
      <c r="I9" s="5" t="s">
        <v>48</v>
      </c>
      <c r="J9" s="4" t="n">
        <v>32.74255</v>
      </c>
      <c r="K9" s="4" t="n">
        <v>-117.03142</v>
      </c>
    </row>
    <row r="10" customFormat="false" ht="15" hidden="false" customHeight="false" outlineLevel="0" collapsed="false">
      <c r="A10" s="4" t="n">
        <v>7</v>
      </c>
      <c r="B10" s="5" t="s">
        <v>49</v>
      </c>
      <c r="C10" s="5" t="s">
        <v>50</v>
      </c>
      <c r="D10" s="4" t="s">
        <v>27</v>
      </c>
      <c r="E10" s="4" t="s">
        <v>51</v>
      </c>
      <c r="F10" s="4" t="s">
        <v>17</v>
      </c>
      <c r="G10" s="5" t="s">
        <v>52</v>
      </c>
      <c r="H10" s="5" t="s">
        <v>53</v>
      </c>
      <c r="I10" s="5" t="s">
        <v>54</v>
      </c>
      <c r="J10" s="4" t="n">
        <v>34.05223</v>
      </c>
      <c r="K10" s="4" t="n">
        <v>-118.24368</v>
      </c>
    </row>
    <row r="11" customFormat="false" ht="15" hidden="false" customHeight="false" outlineLevel="0" collapsed="false">
      <c r="A11" s="4" t="n">
        <v>8</v>
      </c>
      <c r="B11" s="5" t="s">
        <v>49</v>
      </c>
      <c r="C11" s="5" t="s">
        <v>55</v>
      </c>
      <c r="D11" s="4" t="s">
        <v>27</v>
      </c>
      <c r="E11" s="4" t="s">
        <v>56</v>
      </c>
      <c r="F11" s="4" t="s">
        <v>17</v>
      </c>
      <c r="G11" s="5" t="s">
        <v>52</v>
      </c>
      <c r="H11" s="5" t="s">
        <v>41</v>
      </c>
      <c r="I11" s="5" t="s">
        <v>54</v>
      </c>
      <c r="J11" s="4" t="n">
        <v>33.78779</v>
      </c>
      <c r="K11" s="4" t="n">
        <v>-117.85311</v>
      </c>
    </row>
    <row r="12" customFormat="false" ht="15" hidden="false" customHeight="false" outlineLevel="0" collapsed="false">
      <c r="A12" s="4" t="n">
        <v>9</v>
      </c>
      <c r="B12" s="5" t="s">
        <v>25</v>
      </c>
      <c r="C12" s="5" t="s">
        <v>57</v>
      </c>
      <c r="D12" s="4" t="s">
        <v>27</v>
      </c>
      <c r="E12" s="4" t="s">
        <v>58</v>
      </c>
      <c r="F12" s="4" t="s">
        <v>17</v>
      </c>
      <c r="G12" s="5" t="s">
        <v>29</v>
      </c>
      <c r="H12" s="5" t="s">
        <v>59</v>
      </c>
      <c r="I12" s="5" t="s">
        <v>31</v>
      </c>
      <c r="J12" s="4" t="n">
        <v>33.95335</v>
      </c>
      <c r="K12" s="4" t="n">
        <v>-117.39616</v>
      </c>
    </row>
    <row r="13" customFormat="false" ht="15" hidden="false" customHeight="false" outlineLevel="0" collapsed="false">
      <c r="A13" s="4" t="n">
        <v>10</v>
      </c>
      <c r="B13" s="5" t="s">
        <v>25</v>
      </c>
      <c r="C13" s="5" t="s">
        <v>60</v>
      </c>
      <c r="D13" s="4" t="s">
        <v>27</v>
      </c>
      <c r="E13" s="4" t="s">
        <v>61</v>
      </c>
      <c r="F13" s="4" t="s">
        <v>17</v>
      </c>
      <c r="G13" s="5"/>
      <c r="H13" s="5" t="s">
        <v>62</v>
      </c>
      <c r="I13" s="5" t="s">
        <v>63</v>
      </c>
      <c r="J13" s="4" t="n">
        <v>33.83585</v>
      </c>
      <c r="K13" s="4" t="n">
        <v>-118.34063</v>
      </c>
    </row>
    <row r="14" customFormat="false" ht="15" hidden="false" customHeight="false" outlineLevel="0" collapsed="false">
      <c r="A14" s="4" t="n">
        <v>11</v>
      </c>
      <c r="B14" s="5" t="s">
        <v>64</v>
      </c>
      <c r="C14" s="5" t="s">
        <v>65</v>
      </c>
      <c r="D14" s="4" t="s">
        <v>66</v>
      </c>
      <c r="E14" s="4" t="s">
        <v>67</v>
      </c>
      <c r="F14" s="4" t="s">
        <v>17</v>
      </c>
      <c r="G14" s="5"/>
      <c r="H14" s="5" t="s">
        <v>68</v>
      </c>
      <c r="I14" s="5" t="s">
        <v>69</v>
      </c>
      <c r="J14" s="4" t="n">
        <v>25.81954</v>
      </c>
      <c r="K14" s="4" t="n">
        <v>-80.35533</v>
      </c>
    </row>
    <row r="15" customFormat="false" ht="15" hidden="false" customHeight="false" outlineLevel="0" collapsed="false">
      <c r="A15" s="4" t="n">
        <v>12</v>
      </c>
      <c r="B15" s="5" t="s">
        <v>70</v>
      </c>
      <c r="C15" s="5" t="s">
        <v>71</v>
      </c>
      <c r="D15" s="4" t="s">
        <v>66</v>
      </c>
      <c r="E15" s="4" t="s">
        <v>72</v>
      </c>
      <c r="F15" s="4" t="s">
        <v>17</v>
      </c>
      <c r="G15" s="5" t="s">
        <v>73</v>
      </c>
      <c r="H15" s="5" t="s">
        <v>74</v>
      </c>
      <c r="I15" s="5" t="s">
        <v>75</v>
      </c>
      <c r="J15" s="4" t="n">
        <v>26.0112</v>
      </c>
      <c r="K15" s="4" t="n">
        <v>-80.14949</v>
      </c>
    </row>
    <row r="16" customFormat="false" ht="15" hidden="false" customHeight="false" outlineLevel="0" collapsed="false">
      <c r="A16" s="4" t="n">
        <v>13</v>
      </c>
      <c r="B16" s="5" t="s">
        <v>76</v>
      </c>
      <c r="C16" s="5" t="s">
        <v>77</v>
      </c>
      <c r="D16" s="4" t="s">
        <v>66</v>
      </c>
      <c r="E16" s="4" t="s">
        <v>78</v>
      </c>
      <c r="F16" s="4" t="s">
        <v>17</v>
      </c>
      <c r="G16" s="5" t="s">
        <v>79</v>
      </c>
      <c r="H16" s="5" t="s">
        <v>80</v>
      </c>
      <c r="I16" s="5" t="s">
        <v>81</v>
      </c>
      <c r="J16" s="4" t="n">
        <v>25.90871</v>
      </c>
      <c r="K16" s="4" t="n">
        <v>-80.30866</v>
      </c>
    </row>
    <row r="17" customFormat="false" ht="15" hidden="false" customHeight="false" outlineLevel="0" collapsed="false">
      <c r="A17" s="4" t="n">
        <v>14</v>
      </c>
      <c r="B17" s="5" t="s">
        <v>82</v>
      </c>
      <c r="C17" s="5" t="s">
        <v>83</v>
      </c>
      <c r="D17" s="4" t="s">
        <v>66</v>
      </c>
      <c r="E17" s="4" t="s">
        <v>84</v>
      </c>
      <c r="F17" s="4" t="s">
        <v>17</v>
      </c>
      <c r="G17" s="5" t="s">
        <v>85</v>
      </c>
      <c r="H17" s="5" t="s">
        <v>86</v>
      </c>
      <c r="I17" s="5" t="s">
        <v>87</v>
      </c>
      <c r="J17" s="4" t="n">
        <v>26.71534</v>
      </c>
      <c r="K17" s="4" t="n">
        <v>-80.05337</v>
      </c>
    </row>
    <row r="18" customFormat="false" ht="15" hidden="false" customHeight="false" outlineLevel="0" collapsed="false">
      <c r="A18" s="4" t="n">
        <v>15</v>
      </c>
      <c r="B18" s="5" t="s">
        <v>88</v>
      </c>
      <c r="C18" s="5" t="s">
        <v>89</v>
      </c>
      <c r="D18" s="4" t="s">
        <v>90</v>
      </c>
      <c r="E18" s="4" t="s">
        <v>91</v>
      </c>
      <c r="F18" s="4" t="s">
        <v>17</v>
      </c>
      <c r="G18" s="5" t="s">
        <v>92</v>
      </c>
      <c r="H18" s="5" t="s">
        <v>93</v>
      </c>
      <c r="I18" s="5" t="s">
        <v>94</v>
      </c>
      <c r="J18" s="4" t="n">
        <v>33.749</v>
      </c>
      <c r="K18" s="4" t="n">
        <v>-84.38798</v>
      </c>
    </row>
    <row r="19" customFormat="false" ht="15" hidden="false" customHeight="false" outlineLevel="0" collapsed="false">
      <c r="A19" s="4" t="n">
        <v>16</v>
      </c>
      <c r="B19" s="5" t="s">
        <v>95</v>
      </c>
      <c r="C19" s="5" t="s">
        <v>96</v>
      </c>
      <c r="D19" s="4" t="s">
        <v>90</v>
      </c>
      <c r="E19" s="4" t="s">
        <v>97</v>
      </c>
      <c r="F19" s="4" t="s">
        <v>17</v>
      </c>
      <c r="G19" s="5" t="s">
        <v>98</v>
      </c>
      <c r="H19" s="5" t="s">
        <v>99</v>
      </c>
      <c r="I19" s="5" t="s">
        <v>100</v>
      </c>
      <c r="J19" s="4" t="n">
        <v>33.77483</v>
      </c>
      <c r="K19" s="4" t="n">
        <v>-84.29631</v>
      </c>
    </row>
    <row r="20" customFormat="false" ht="15" hidden="false" customHeight="false" outlineLevel="0" collapsed="false">
      <c r="A20" s="4" t="n">
        <v>17</v>
      </c>
      <c r="B20" s="5" t="s">
        <v>13</v>
      </c>
      <c r="C20" s="5" t="s">
        <v>101</v>
      </c>
      <c r="D20" s="4" t="s">
        <v>102</v>
      </c>
      <c r="E20" s="4" t="s">
        <v>103</v>
      </c>
      <c r="F20" s="4" t="s">
        <v>17</v>
      </c>
      <c r="G20" s="5" t="s">
        <v>104</v>
      </c>
      <c r="H20" s="5" t="s">
        <v>105</v>
      </c>
      <c r="I20" s="5" t="s">
        <v>20</v>
      </c>
      <c r="J20" s="4" t="n">
        <v>41.85003</v>
      </c>
      <c r="K20" s="4" t="n">
        <v>-87.65005</v>
      </c>
    </row>
    <row r="21" customFormat="false" ht="15" hidden="false" customHeight="false" outlineLevel="0" collapsed="false">
      <c r="A21" s="4" t="n">
        <v>18</v>
      </c>
      <c r="B21" s="5" t="s">
        <v>106</v>
      </c>
      <c r="C21" s="5" t="s">
        <v>107</v>
      </c>
      <c r="D21" s="4" t="s">
        <v>108</v>
      </c>
      <c r="E21" s="4" t="s">
        <v>109</v>
      </c>
      <c r="F21" s="4" t="s">
        <v>17</v>
      </c>
      <c r="G21" s="5" t="s">
        <v>110</v>
      </c>
      <c r="H21" s="5" t="s">
        <v>111</v>
      </c>
      <c r="I21" s="5" t="s">
        <v>112</v>
      </c>
      <c r="J21" s="4" t="n">
        <v>42.33143</v>
      </c>
      <c r="K21" s="4" t="n">
        <v>-83.04575</v>
      </c>
    </row>
    <row r="22" customFormat="false" ht="15" hidden="false" customHeight="false" outlineLevel="0" collapsed="false">
      <c r="A22" s="4" t="n">
        <v>19</v>
      </c>
      <c r="B22" s="5" t="s">
        <v>113</v>
      </c>
      <c r="C22" s="5" t="s">
        <v>114</v>
      </c>
      <c r="D22" s="4" t="s">
        <v>115</v>
      </c>
      <c r="E22" s="4" t="s">
        <v>116</v>
      </c>
      <c r="F22" s="4" t="s">
        <v>17</v>
      </c>
      <c r="G22" s="5" t="s">
        <v>117</v>
      </c>
      <c r="H22" s="5" t="s">
        <v>118</v>
      </c>
      <c r="I22" s="5" t="s">
        <v>119</v>
      </c>
      <c r="J22" s="4" t="n">
        <v>38.62727</v>
      </c>
      <c r="K22" s="4" t="n">
        <v>-90.19789</v>
      </c>
    </row>
    <row r="23" customFormat="false" ht="15" hidden="false" customHeight="false" outlineLevel="0" collapsed="false">
      <c r="A23" s="4" t="n">
        <v>20</v>
      </c>
      <c r="B23" s="5" t="s">
        <v>120</v>
      </c>
      <c r="C23" s="5" t="s">
        <v>121</v>
      </c>
      <c r="D23" s="4" t="s">
        <v>122</v>
      </c>
      <c r="E23" s="4" t="s">
        <v>123</v>
      </c>
      <c r="F23" s="4" t="s">
        <v>17</v>
      </c>
      <c r="G23" s="5" t="s">
        <v>124</v>
      </c>
      <c r="H23" s="5" t="s">
        <v>125</v>
      </c>
      <c r="I23" s="5" t="s">
        <v>126</v>
      </c>
      <c r="J23" s="4" t="n">
        <v>36.17497</v>
      </c>
      <c r="K23" s="4" t="n">
        <v>-115.13722</v>
      </c>
    </row>
    <row r="24" customFormat="false" ht="15" hidden="false" customHeight="false" outlineLevel="0" collapsed="false">
      <c r="A24" s="4" t="n">
        <v>21</v>
      </c>
      <c r="B24" s="5" t="s">
        <v>127</v>
      </c>
      <c r="C24" s="5" t="s">
        <v>128</v>
      </c>
      <c r="D24" s="4" t="s">
        <v>128</v>
      </c>
      <c r="E24" s="4" t="s">
        <v>129</v>
      </c>
      <c r="F24" s="4" t="s">
        <v>17</v>
      </c>
      <c r="G24" s="5" t="s">
        <v>130</v>
      </c>
      <c r="H24" s="5" t="s">
        <v>131</v>
      </c>
      <c r="I24" s="5" t="s">
        <v>132</v>
      </c>
      <c r="J24" s="4" t="n">
        <v>40.71427</v>
      </c>
      <c r="K24" s="4" t="n">
        <v>-74.00597</v>
      </c>
    </row>
    <row r="25" customFormat="false" ht="15" hidden="false" customHeight="false" outlineLevel="0" collapsed="false">
      <c r="A25" s="4" t="n">
        <v>22</v>
      </c>
      <c r="B25" s="5" t="s">
        <v>133</v>
      </c>
      <c r="C25" s="5" t="s">
        <v>134</v>
      </c>
      <c r="D25" s="4" t="s">
        <v>135</v>
      </c>
      <c r="E25" s="4" t="s">
        <v>136</v>
      </c>
      <c r="F25" s="4" t="s">
        <v>17</v>
      </c>
      <c r="G25" s="5" t="s">
        <v>137</v>
      </c>
      <c r="H25" s="5" t="s">
        <v>138</v>
      </c>
      <c r="I25" s="5" t="s">
        <v>139</v>
      </c>
      <c r="J25" s="4" t="n">
        <v>40.79895</v>
      </c>
      <c r="K25" s="4" t="n">
        <v>-81.37845</v>
      </c>
    </row>
    <row r="26" customFormat="false" ht="15" hidden="false" customHeight="false" outlineLevel="0" collapsed="false">
      <c r="A26" s="4" t="n">
        <v>23</v>
      </c>
      <c r="B26" s="5" t="s">
        <v>140</v>
      </c>
      <c r="C26" s="5" t="s">
        <v>141</v>
      </c>
      <c r="D26" s="4" t="s">
        <v>142</v>
      </c>
      <c r="E26" s="4" t="s">
        <v>143</v>
      </c>
      <c r="F26" s="4" t="s">
        <v>17</v>
      </c>
      <c r="G26" s="5" t="s">
        <v>144</v>
      </c>
      <c r="H26" s="5" t="s">
        <v>145</v>
      </c>
      <c r="I26" s="5" t="s">
        <v>146</v>
      </c>
      <c r="J26" s="4" t="n">
        <v>39.95238</v>
      </c>
      <c r="K26" s="4" t="n">
        <v>-75.16362</v>
      </c>
    </row>
    <row r="27" customFormat="false" ht="15" hidden="false" customHeight="false" outlineLevel="0" collapsed="false">
      <c r="A27" s="4" t="n">
        <v>24</v>
      </c>
      <c r="B27" s="5" t="s">
        <v>140</v>
      </c>
      <c r="C27" s="5" t="s">
        <v>147</v>
      </c>
      <c r="D27" s="4" t="s">
        <v>148</v>
      </c>
      <c r="E27" s="4" t="s">
        <v>149</v>
      </c>
      <c r="F27" s="4" t="s">
        <v>17</v>
      </c>
      <c r="G27" s="5" t="s">
        <v>150</v>
      </c>
      <c r="H27" s="5" t="s">
        <v>151</v>
      </c>
      <c r="I27" s="5" t="s">
        <v>152</v>
      </c>
      <c r="J27" s="4" t="n">
        <v>32.58986</v>
      </c>
      <c r="K27" s="4" t="n">
        <v>-96.85695</v>
      </c>
    </row>
    <row r="28" customFormat="false" ht="15" hidden="false" customHeight="false" outlineLevel="0" collapsed="false">
      <c r="A28" s="4" t="n">
        <v>25</v>
      </c>
      <c r="B28" s="5" t="s">
        <v>13</v>
      </c>
      <c r="C28" s="5" t="s">
        <v>153</v>
      </c>
      <c r="D28" s="4" t="s">
        <v>148</v>
      </c>
      <c r="E28" s="4" t="s">
        <v>154</v>
      </c>
      <c r="F28" s="4" t="s">
        <v>17</v>
      </c>
      <c r="G28" s="5" t="s">
        <v>155</v>
      </c>
      <c r="H28" s="5" t="s">
        <v>156</v>
      </c>
      <c r="I28" s="5" t="s">
        <v>20</v>
      </c>
      <c r="J28" s="4" t="n">
        <v>32.94818</v>
      </c>
      <c r="K28" s="4" t="n">
        <v>-96.72972</v>
      </c>
    </row>
    <row r="29" customFormat="false" ht="15" hidden="false" customHeight="false" outlineLevel="0" collapsed="false">
      <c r="A29" s="4" t="n">
        <v>26</v>
      </c>
      <c r="B29" s="5" t="s">
        <v>157</v>
      </c>
      <c r="C29" s="5" t="s">
        <v>158</v>
      </c>
      <c r="D29" s="4" t="s">
        <v>159</v>
      </c>
      <c r="E29" s="4" t="s">
        <v>160</v>
      </c>
      <c r="F29" s="4" t="s">
        <v>17</v>
      </c>
      <c r="G29" s="5" t="s">
        <v>161</v>
      </c>
      <c r="H29" s="5" t="s">
        <v>162</v>
      </c>
      <c r="I29" s="5" t="s">
        <v>163</v>
      </c>
      <c r="J29" s="4" t="n">
        <v>47.61038</v>
      </c>
      <c r="K29" s="4" t="n">
        <v>-122.20068</v>
      </c>
    </row>
  </sheetData>
  <autoFilter ref="A3:K2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2"/>
  </cols>
  <sheetData>
    <row r="1" customFormat="false" ht="15" hidden="false" customHeight="false" outlineLevel="0" collapsed="false">
      <c r="A1" s="3" t="s">
        <v>5</v>
      </c>
      <c r="B1" s="3" t="s">
        <v>164</v>
      </c>
      <c r="C1" s="3" t="s">
        <v>165</v>
      </c>
    </row>
    <row r="2" customFormat="false" ht="15" hidden="false" customHeight="false" outlineLevel="0" collapsed="false">
      <c r="A2" s="5" t="s">
        <v>27</v>
      </c>
      <c r="B2" s="4" t="n">
        <f aca="false">COUNTIF('Site List'!D:D,A2)</f>
        <v>8</v>
      </c>
      <c r="C2" s="6" t="n">
        <f aca="false">B2/$B$15</f>
        <v>0.307692307692308</v>
      </c>
    </row>
    <row r="3" customFormat="false" ht="15" hidden="false" customHeight="false" outlineLevel="0" collapsed="false">
      <c r="A3" s="5" t="s">
        <v>66</v>
      </c>
      <c r="B3" s="4" t="n">
        <f aca="false">COUNTIF('Site List'!D:D,A3)</f>
        <v>4</v>
      </c>
      <c r="C3" s="6" t="n">
        <f aca="false">B3/$B$15</f>
        <v>0.153846153846154</v>
      </c>
    </row>
    <row r="4" customFormat="false" ht="15" hidden="false" customHeight="false" outlineLevel="0" collapsed="false">
      <c r="A4" s="5" t="s">
        <v>15</v>
      </c>
      <c r="B4" s="4" t="n">
        <f aca="false">COUNTIF('Site List'!D:D,A4)</f>
        <v>2</v>
      </c>
      <c r="C4" s="6" t="n">
        <f aca="false">B4/$B$15</f>
        <v>0.0769230769230769</v>
      </c>
    </row>
    <row r="5" customFormat="false" ht="15" hidden="false" customHeight="false" outlineLevel="0" collapsed="false">
      <c r="A5" s="5" t="s">
        <v>90</v>
      </c>
      <c r="B5" s="4" t="n">
        <f aca="false">COUNTIF('Site List'!D:D,A5)</f>
        <v>2</v>
      </c>
      <c r="C5" s="6" t="n">
        <f aca="false">B5/$B$15</f>
        <v>0.0769230769230769</v>
      </c>
    </row>
    <row r="6" customFormat="false" ht="15" hidden="false" customHeight="false" outlineLevel="0" collapsed="false">
      <c r="A6" s="5" t="s">
        <v>148</v>
      </c>
      <c r="B6" s="4" t="n">
        <f aca="false">COUNTIF('Site List'!D:D,A6)</f>
        <v>2</v>
      </c>
      <c r="C6" s="6" t="n">
        <f aca="false">B6/$B$15</f>
        <v>0.0769230769230769</v>
      </c>
    </row>
    <row r="7" customFormat="false" ht="15" hidden="false" customHeight="false" outlineLevel="0" collapsed="false">
      <c r="A7" s="5" t="s">
        <v>102</v>
      </c>
      <c r="B7" s="4" t="n">
        <f aca="false">COUNTIF('Site List'!D:D,A7)</f>
        <v>1</v>
      </c>
      <c r="C7" s="6" t="n">
        <f aca="false">B7/$B$15</f>
        <v>0.0384615384615385</v>
      </c>
    </row>
    <row r="8" customFormat="false" ht="15" hidden="false" customHeight="false" outlineLevel="0" collapsed="false">
      <c r="A8" s="5" t="s">
        <v>108</v>
      </c>
      <c r="B8" s="4" t="n">
        <f aca="false">COUNTIF('Site List'!D:D,A8)</f>
        <v>1</v>
      </c>
      <c r="C8" s="6" t="n">
        <f aca="false">B8/$B$15</f>
        <v>0.0384615384615385</v>
      </c>
    </row>
    <row r="9" customFormat="false" ht="15" hidden="false" customHeight="false" outlineLevel="0" collapsed="false">
      <c r="A9" s="5" t="s">
        <v>115</v>
      </c>
      <c r="B9" s="4" t="n">
        <f aca="false">COUNTIF('Site List'!D:D,A9)</f>
        <v>1</v>
      </c>
      <c r="C9" s="6" t="n">
        <f aca="false">B9/$B$15</f>
        <v>0.0384615384615385</v>
      </c>
    </row>
    <row r="10" customFormat="false" ht="15" hidden="false" customHeight="false" outlineLevel="0" collapsed="false">
      <c r="A10" s="5" t="s">
        <v>122</v>
      </c>
      <c r="B10" s="4" t="n">
        <f aca="false">COUNTIF('Site List'!D:D,A10)</f>
        <v>1</v>
      </c>
      <c r="C10" s="6" t="n">
        <f aca="false">B10/$B$15</f>
        <v>0.0384615384615385</v>
      </c>
    </row>
    <row r="11" customFormat="false" ht="15" hidden="false" customHeight="false" outlineLevel="0" collapsed="false">
      <c r="A11" s="5" t="s">
        <v>128</v>
      </c>
      <c r="B11" s="4" t="n">
        <f aca="false">COUNTIF('Site List'!D:D,A11)</f>
        <v>1</v>
      </c>
      <c r="C11" s="6" t="n">
        <f aca="false">B11/$B$15</f>
        <v>0.0384615384615385</v>
      </c>
    </row>
    <row r="12" customFormat="false" ht="15" hidden="false" customHeight="false" outlineLevel="0" collapsed="false">
      <c r="A12" s="5" t="s">
        <v>135</v>
      </c>
      <c r="B12" s="4" t="n">
        <f aca="false">COUNTIF('Site List'!D:D,A12)</f>
        <v>1</v>
      </c>
      <c r="C12" s="6" t="n">
        <f aca="false">B12/$B$15</f>
        <v>0.0384615384615385</v>
      </c>
    </row>
    <row r="13" customFormat="false" ht="15" hidden="false" customHeight="false" outlineLevel="0" collapsed="false">
      <c r="A13" s="5" t="s">
        <v>142</v>
      </c>
      <c r="B13" s="4" t="n">
        <f aca="false">COUNTIF('Site List'!D:D,A13)</f>
        <v>1</v>
      </c>
      <c r="C13" s="6" t="n">
        <f aca="false">B13/$B$15</f>
        <v>0.0384615384615385</v>
      </c>
    </row>
    <row r="14" customFormat="false" ht="15" hidden="false" customHeight="false" outlineLevel="0" collapsed="false">
      <c r="A14" s="5" t="s">
        <v>159</v>
      </c>
      <c r="B14" s="4" t="n">
        <f aca="false">COUNTIF('Site List'!D:D,A14)</f>
        <v>1</v>
      </c>
      <c r="C14" s="6" t="n">
        <f aca="false">B14/$B$15</f>
        <v>0.0384615384615385</v>
      </c>
    </row>
    <row r="15" customFormat="false" ht="15" hidden="false" customHeight="false" outlineLevel="0" collapsed="false">
      <c r="A15" s="7" t="s">
        <v>166</v>
      </c>
      <c r="B15" s="8" t="n">
        <f aca="false">SUM(B2:B14)</f>
        <v>26</v>
      </c>
      <c r="C15" s="9" t="n">
        <f aca="false">B15/$B$15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2026-06-15T18:41:21Z</dcterms:created>
  <dc:creator>openpyxl</dc:creator>
  <dc:description/>
  <dc:language>en-US</dc:language>
  <cp:lastModifiedBy/>
  <dcterms:modified xsi:type="dcterms:W3CDTF">2026-06-15T18:41:21Z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